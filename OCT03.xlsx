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64776115df530a2/Desktop/"/>
    </mc:Choice>
  </mc:AlternateContent>
  <xr:revisionPtr revIDLastSave="0" documentId="8_{AFAE8AF1-3887-41F3-A8B4-BF46E56F4011}" xr6:coauthVersionLast="47" xr6:coauthVersionMax="47" xr10:uidLastSave="{00000000-0000-0000-0000-000000000000}"/>
  <bookViews>
    <workbookView xWindow="-120" yWindow="-120" windowWidth="29040" windowHeight="15720" xr2:uid="{9094245B-72A5-4515-8C41-532B04C4E70F}"/>
  </bookViews>
  <sheets>
    <sheet name="Sheet1" sheetId="1" r:id="rId1"/>
    <sheet name="Sheet3" sheetId="3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6" i="2" l="1"/>
  <c r="B7" i="2"/>
  <c r="B6" i="2"/>
  <c r="B5" i="2"/>
  <c r="B4" i="2"/>
  <c r="B3" i="2"/>
  <c r="B2" i="2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C14" i="2"/>
  <c r="C13" i="2"/>
  <c r="C12" i="2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B9" i="2"/>
  <c r="B8" i="2"/>
</calcChain>
</file>

<file path=xl/sharedStrings.xml><?xml version="1.0" encoding="utf-8"?>
<sst xmlns="http://schemas.openxmlformats.org/spreadsheetml/2006/main" count="406" uniqueCount="113">
  <si>
    <t>ORD001</t>
  </si>
  <si>
    <t>Meera</t>
  </si>
  <si>
    <t>Mouse</t>
  </si>
  <si>
    <t>Accessories</t>
  </si>
  <si>
    <t>South</t>
  </si>
  <si>
    <t>John</t>
  </si>
  <si>
    <t>Cash</t>
  </si>
  <si>
    <t>ORD002</t>
  </si>
  <si>
    <t>Webcam</t>
  </si>
  <si>
    <t>Divya</t>
  </si>
  <si>
    <t>ORD003</t>
  </si>
  <si>
    <t>Diya</t>
  </si>
  <si>
    <t>Monitor</t>
  </si>
  <si>
    <t>Electronics</t>
  </si>
  <si>
    <t>East</t>
  </si>
  <si>
    <t>UPI</t>
  </si>
  <si>
    <t>ORD004</t>
  </si>
  <si>
    <t>ORD005</t>
  </si>
  <si>
    <t>Net Banking</t>
  </si>
  <si>
    <t>ORD006</t>
  </si>
  <si>
    <t>Vishnu</t>
  </si>
  <si>
    <t>ORD007</t>
  </si>
  <si>
    <t>Anjali</t>
  </si>
  <si>
    <t>ORD008</t>
  </si>
  <si>
    <t>Fathima</t>
  </si>
  <si>
    <t>Headset</t>
  </si>
  <si>
    <t>Priya</t>
  </si>
  <si>
    <t>Card</t>
  </si>
  <si>
    <t>ORD009</t>
  </si>
  <si>
    <t>Sneha</t>
  </si>
  <si>
    <t>West</t>
  </si>
  <si>
    <t>Ameen</t>
  </si>
  <si>
    <t>ORD010</t>
  </si>
  <si>
    <t>Sanjay</t>
  </si>
  <si>
    <t>Printer</t>
  </si>
  <si>
    <t>Kiran</t>
  </si>
  <si>
    <t>ORD011</t>
  </si>
  <si>
    <t>Adil</t>
  </si>
  <si>
    <t>ORD012</t>
  </si>
  <si>
    <t>Neha</t>
  </si>
  <si>
    <t>Keyboard</t>
  </si>
  <si>
    <t>ORD013</t>
  </si>
  <si>
    <t>Nikhil</t>
  </si>
  <si>
    <t>ORD014</t>
  </si>
  <si>
    <t>Akhil</t>
  </si>
  <si>
    <t>North</t>
  </si>
  <si>
    <t>ORD015</t>
  </si>
  <si>
    <t>SSD</t>
  </si>
  <si>
    <t>ORD016</t>
  </si>
  <si>
    <t>Rahul</t>
  </si>
  <si>
    <t>ORD017</t>
  </si>
  <si>
    <t>ORD018</t>
  </si>
  <si>
    <t>Arun</t>
  </si>
  <si>
    <t>ORD019</t>
  </si>
  <si>
    <t>ORD020</t>
  </si>
  <si>
    <t>ORD021</t>
  </si>
  <si>
    <t>ORD022</t>
  </si>
  <si>
    <t>ORD023</t>
  </si>
  <si>
    <t>ORD024</t>
  </si>
  <si>
    <t>ORD025</t>
  </si>
  <si>
    <t>ORD026</t>
  </si>
  <si>
    <t>Amal</t>
  </si>
  <si>
    <t>ORD027</t>
  </si>
  <si>
    <t>ORD028</t>
  </si>
  <si>
    <t>ORD029</t>
  </si>
  <si>
    <t>Riya</t>
  </si>
  <si>
    <t>ORD030</t>
  </si>
  <si>
    <t>ORD031</t>
  </si>
  <si>
    <t>Laptop</t>
  </si>
  <si>
    <t>ORD032</t>
  </si>
  <si>
    <t>ORD033</t>
  </si>
  <si>
    <t>ORD034</t>
  </si>
  <si>
    <t>ORD035</t>
  </si>
  <si>
    <t>ORD036</t>
  </si>
  <si>
    <t>ORD037</t>
  </si>
  <si>
    <t>ORD038</t>
  </si>
  <si>
    <t>ORD039</t>
  </si>
  <si>
    <t>ORD040</t>
  </si>
  <si>
    <t>ORD041</t>
  </si>
  <si>
    <t>ORD042</t>
  </si>
  <si>
    <t>ORD043</t>
  </si>
  <si>
    <t>ORD044</t>
  </si>
  <si>
    <t>ORD045</t>
  </si>
  <si>
    <t>ORD046</t>
  </si>
  <si>
    <t>ORD047</t>
  </si>
  <si>
    <t>ORD048</t>
  </si>
  <si>
    <t>ORD049</t>
  </si>
  <si>
    <t>ORD050</t>
  </si>
  <si>
    <t>Order_ID</t>
  </si>
  <si>
    <t>Order_Date</t>
  </si>
  <si>
    <t>Customer</t>
  </si>
  <si>
    <t>Product</t>
  </si>
  <si>
    <t>Category</t>
  </si>
  <si>
    <t>Region</t>
  </si>
  <si>
    <t>Salesperson</t>
  </si>
  <si>
    <t>Quantity</t>
  </si>
  <si>
    <t>Unit_Price</t>
  </si>
  <si>
    <t>Discount</t>
  </si>
  <si>
    <t>Payment_Mode</t>
  </si>
  <si>
    <t>Task No.</t>
  </si>
  <si>
    <t>Your Formula / Result</t>
  </si>
  <si>
    <t>total_sales</t>
  </si>
  <si>
    <t>discounted_Sales</t>
  </si>
  <si>
    <t>Supplier</t>
  </si>
  <si>
    <t>Stock_Status</t>
  </si>
  <si>
    <t>TechWorld</t>
  </si>
  <si>
    <t>In Stock</t>
  </si>
  <si>
    <t>Prime Systems</t>
  </si>
  <si>
    <t>Smart Traders</t>
  </si>
  <si>
    <t>Digital Hub</t>
  </si>
  <si>
    <t>Low Stock</t>
  </si>
  <si>
    <t>mouse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</si>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</sst>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\-mm\-yyyy"/>
  </numFmts>
  <fonts count="4">
    <font>
      <sz val="11"/>
      <color theme="1"/>
      <name val="Calibri"/>
      <family val="2"/>
      <scheme val="minor"/>
    </font>
    <font>
      <sz val="11"/>
      <name val="Calibri"/>
      <scheme val="minor"/>
    </font>
    <font>
      <b/>
      <sz val="11"/>
      <color rgb="FFFFFFFF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2" borderId="0" xfId="1" applyFont="1" applyFill="1" applyAlignment="1">
      <alignment horizontal="center" vertical="center"/>
    </xf>
    <xf numFmtId="0" fontId="3" fillId="0" borderId="0" xfId="1" applyFont="1"/>
    <xf numFmtId="164" fontId="3" fillId="0" borderId="0" xfId="1" applyNumberFormat="1" applyFont="1"/>
    <xf numFmtId="4" fontId="3" fillId="0" borderId="0" xfId="1" applyNumberFormat="1" applyFont="1"/>
    <xf numFmtId="9" fontId="3" fillId="0" borderId="0" xfId="1" applyNumberFormat="1" applyFont="1"/>
    <xf numFmtId="0" fontId="2" fillId="2" borderId="0" xfId="1" applyFont="1" applyFill="1" applyAlignment="1">
      <alignment vertical="top" wrapText="1"/>
    </xf>
    <xf numFmtId="0" fontId="3" fillId="0" borderId="0" xfId="1" applyFont="1" applyAlignment="1">
      <alignment vertical="top" wrapText="1"/>
    </xf>
    <xf numFmtId="4" fontId="3" fillId="0" borderId="0" xfId="1" applyNumberFormat="1" applyFont="1" applyAlignment="1">
      <alignment vertical="top" wrapText="1"/>
    </xf>
  </cellXfs>
  <cellStyles count="2">
    <cellStyle name="Normal" xfId="0" builtinId="0"/>
    <cellStyle name="Normal 2" xfId="1" xr:uid="{3479D8F0-1A6D-4D84-A9D7-143A54EEA037}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dd\-mm\-yyyy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dd\-mm\-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EAF1DD"/>
          <bgColor rgb="FFEAF1DD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DBE5F1"/>
          <bgColor rgb="FFDBE5F1"/>
        </patternFill>
      </fill>
    </dxf>
    <dxf>
      <fill>
        <patternFill patternType="none"/>
      </fill>
    </dxf>
  </dxfs>
  <tableStyles count="3" defaultTableStyle="TableStyleMedium2" defaultPivotStyle="PivotStyleLight16">
    <tableStyle name="Sales_Data-style" pivot="0" count="3" xr9:uid="{A4FEA7BB-162F-485C-B45B-A59AD8E8FF75}">
      <tableStyleElement type="headerRow" dxfId="38"/>
      <tableStyleElement type="firstRowStripe" dxfId="37"/>
      <tableStyleElement type="secondRowStripe" dxfId="36"/>
    </tableStyle>
    <tableStyle name="Product_Lookup-style" pivot="0" count="3" xr9:uid="{1CFB4ED1-46D8-4EBC-8385-336C58F21004}">
      <tableStyleElement type="headerRow" dxfId="35"/>
      <tableStyleElement type="firstRowStripe" dxfId="34"/>
      <tableStyleElement type="secondRowStripe" dxfId="33"/>
    </tableStyle>
    <tableStyle name="15_Tasks-style" pivot="0" count="3" xr9:uid="{4AEF8FE1-0263-43C3-9C07-D778A899007C}">
      <tableStyleElement type="headerRow" dxfId="32"/>
      <tableStyleElement type="firstRowStripe" dxfId="31"/>
      <tableStyleElement type="secondRowStripe" dxfId="3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B82A78-531E-4312-8D94-8F4C9FB8DC3F}" name="Table1" displayName="Table1" ref="A1:N52" totalsRowCount="1" headerRowDxfId="29" dataDxfId="28" headerRowCellStyle="Normal 2" dataCellStyle="Normal 2">
  <autoFilter ref="A1:N51" xr:uid="{BEB82A78-531E-4312-8D94-8F4C9FB8DC3F}"/>
  <tableColumns count="14">
    <tableColumn id="1" xr3:uid="{7C4AEDB9-D4D7-43A1-BD91-05E917784A98}" name="Order_ID" dataDxfId="27" totalsRowDxfId="26" dataCellStyle="Normal 2" totalsRowCellStyle="Normal 2"/>
    <tableColumn id="2" xr3:uid="{645A0747-65F2-4479-8C7B-107484CF597F}" name="Order_Date" dataDxfId="25" totalsRowDxfId="24" dataCellStyle="Normal 2" totalsRowCellStyle="Normal 2"/>
    <tableColumn id="3" xr3:uid="{04AB118C-DCC0-4207-8CE7-5EED69D09D7D}" name="Customer" dataDxfId="23" totalsRowDxfId="22" dataCellStyle="Normal 2" totalsRowCellStyle="Normal 2"/>
    <tableColumn id="4" xr3:uid="{0F97571B-FB52-412C-AE7C-6B47994B969D}" name="Product" dataDxfId="21" totalsRowDxfId="20" dataCellStyle="Normal 2" totalsRowCellStyle="Normal 2"/>
    <tableColumn id="5" xr3:uid="{5BF5AAFA-2E75-475B-8D4A-9AB18051C289}" name="Category" dataDxfId="19" totalsRowDxfId="18" dataCellStyle="Normal 2" totalsRowCellStyle="Normal 2"/>
    <tableColumn id="6" xr3:uid="{624CF5C0-66CA-4520-A88C-1CD6EB60CC1F}" name="Region" dataDxfId="17" totalsRowDxfId="16" dataCellStyle="Normal 2" totalsRowCellStyle="Normal 2"/>
    <tableColumn id="7" xr3:uid="{3C08401B-F4EE-4ACB-8EA7-996B608ED4E5}" name="Salesperson" dataDxfId="15" totalsRowDxfId="14" dataCellStyle="Normal 2" totalsRowCellStyle="Normal 2"/>
    <tableColumn id="8" xr3:uid="{333AC831-3DC1-4E1B-9EF4-BF9CCDDE0C3C}" name="Quantity" dataDxfId="13" totalsRowDxfId="12" dataCellStyle="Normal 2" totalsRowCellStyle="Normal 2"/>
    <tableColumn id="9" xr3:uid="{B995BD18-851B-4760-905A-CF5D0490627B}" name="Unit_Price" dataDxfId="11" totalsRowDxfId="10" dataCellStyle="Normal 2" totalsRowCellStyle="Normal 2"/>
    <tableColumn id="10" xr3:uid="{A1877B19-49BE-4196-8639-CCC8988470B1}" name="Discount" dataDxfId="9" totalsRowDxfId="8" dataCellStyle="Normal 2" totalsRowCellStyle="Normal 2"/>
    <tableColumn id="11" xr3:uid="{1B0388A5-7D28-4926-9896-7B79BDB1A5FB}" name="Payment_Mode" dataDxfId="7" totalsRowDxfId="6" dataCellStyle="Normal 2" totalsRowCellStyle="Normal 2"/>
    <tableColumn id="12" xr3:uid="{4252EBF7-CDAD-4947-A81D-94FC69E3DCE2}" name="total_sales" dataDxfId="5" totalsRowDxfId="4" dataCellStyle="Normal 2" totalsRowCellStyle="Normal 2">
      <calculatedColumnFormula>Table1[[#This Row],[Quantity]]*Table1[[#This Row],[Unit_Price]]</calculatedColumnFormula>
    </tableColumn>
    <tableColumn id="13" xr3:uid="{7FF93C7B-C9E4-46B4-A605-DF72DDCECF9A}" name="discounted_Sales" dataDxfId="3" totalsRowDxfId="2" dataCellStyle="Normal 2" totalsRowCellStyle="Normal 2">
      <calculatedColumnFormula>Table1[[#This Row],[Quantity]]*Table1[[#This Row],[Unit_Price]]*(1-Table1[[#This Row],[Discount]])</calculatedColumnFormula>
    </tableColumn>
    <tableColumn id="14" xr3:uid="{40313F10-23D6-42C4-8BD0-61BA6AB1E372}" name="status" dataDxfId="1" totalsRowDxfId="0" dataCellStyle="Normal 2" totalsRowCellStyle="Normal 2">
      <calculatedColumnFormula>IF(Table1[[#This Row],[discounted_Sales]]&gt;=50000,"High value","Average")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5FA2D-5252-4BA9-8CFF-891E64880D31}">
  <dimension ref="A1:N52"/>
  <sheetViews>
    <sheetView tabSelected="1" workbookViewId="0">
      <selection activeCell="N3" sqref="N3"/>
    </sheetView>
  </sheetViews>
  <sheetFormatPr defaultRowHeight="15"/>
  <cols>
    <col min="1" max="1" width="11.140625" customWidth="1"/>
    <col min="2" max="2" width="15.85546875" bestFit="1" customWidth="1"/>
    <col min="3" max="3" width="14.140625" bestFit="1" customWidth="1"/>
    <col min="4" max="4" width="12.42578125" bestFit="1" customWidth="1"/>
    <col min="5" max="5" width="13.42578125" bestFit="1" customWidth="1"/>
    <col min="6" max="6" width="11.7109375" bestFit="1" customWidth="1"/>
    <col min="7" max="7" width="13.85546875" customWidth="1"/>
    <col min="8" max="8" width="10.85546875" customWidth="1"/>
    <col min="9" max="9" width="12.42578125" customWidth="1"/>
    <col min="10" max="10" width="24.28515625" customWidth="1"/>
    <col min="11" max="11" width="32.7109375" customWidth="1"/>
    <col min="12" max="12" width="15.140625" bestFit="1" customWidth="1"/>
    <col min="13" max="13" width="35.5703125" customWidth="1"/>
    <col min="14" max="14" width="36.85546875" customWidth="1"/>
  </cols>
  <sheetData>
    <row r="1" spans="1:14">
      <c r="A1" s="1" t="s">
        <v>88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93</v>
      </c>
      <c r="G1" s="1" t="s">
        <v>94</v>
      </c>
      <c r="H1" s="1" t="s">
        <v>95</v>
      </c>
      <c r="I1" s="1" t="s">
        <v>96</v>
      </c>
      <c r="J1" s="1" t="s">
        <v>97</v>
      </c>
      <c r="K1" s="1" t="s">
        <v>98</v>
      </c>
      <c r="L1" s="1" t="s">
        <v>101</v>
      </c>
      <c r="M1" s="1" t="s">
        <v>102</v>
      </c>
      <c r="N1" s="1" t="s">
        <v>112</v>
      </c>
    </row>
    <row r="2" spans="1:14">
      <c r="A2" s="2" t="s">
        <v>0</v>
      </c>
      <c r="B2" s="3">
        <v>46054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>
        <v>1</v>
      </c>
      <c r="I2" s="4">
        <v>800</v>
      </c>
      <c r="J2" s="5">
        <v>0.1</v>
      </c>
      <c r="K2" s="2" t="s">
        <v>6</v>
      </c>
      <c r="L2" s="2">
        <f>Table1[[#This Row],[Quantity]]*Table1[[#This Row],[Unit_Price]]</f>
        <v>800</v>
      </c>
      <c r="M2" s="2">
        <f>Table1[[#This Row],[Quantity]]*Table1[[#This Row],[Unit_Price]]*(1-Table1[[#This Row],[Discount]])</f>
        <v>720</v>
      </c>
      <c r="N2" s="2" t="str">
        <f>IF(Table1[[#This Row],[discounted_Sales]]&gt;=50000,"High value","Average")</f>
        <v>Average</v>
      </c>
    </row>
    <row r="3" spans="1:14">
      <c r="A3" s="2" t="s">
        <v>7</v>
      </c>
      <c r="B3" s="3">
        <v>46034</v>
      </c>
      <c r="C3" s="2" t="s">
        <v>1</v>
      </c>
      <c r="D3" s="2" t="s">
        <v>8</v>
      </c>
      <c r="E3" s="2" t="s">
        <v>3</v>
      </c>
      <c r="F3" s="2" t="s">
        <v>4</v>
      </c>
      <c r="G3" s="2" t="s">
        <v>9</v>
      </c>
      <c r="H3" s="2">
        <v>1</v>
      </c>
      <c r="I3" s="4">
        <v>3500</v>
      </c>
      <c r="J3" s="5">
        <v>0</v>
      </c>
      <c r="K3" s="2" t="s">
        <v>6</v>
      </c>
      <c r="L3" s="2">
        <f>Table1[[#This Row],[Quantity]]*Table1[[#This Row],[Unit_Price]]</f>
        <v>3500</v>
      </c>
      <c r="M3" s="2">
        <f>Table1[[#This Row],[Quantity]]*Table1[[#This Row],[Unit_Price]]*(1-Table1[[#This Row],[Discount]])</f>
        <v>3500</v>
      </c>
      <c r="N3" s="2" t="str">
        <f>IF(Table1[[#This Row],[discounted_Sales]]&gt;=50000,"High value","Average")</f>
        <v>Average</v>
      </c>
    </row>
    <row r="4" spans="1:14">
      <c r="A4" s="2" t="s">
        <v>10</v>
      </c>
      <c r="B4" s="3">
        <v>46080</v>
      </c>
      <c r="C4" s="2" t="s">
        <v>11</v>
      </c>
      <c r="D4" s="2" t="s">
        <v>12</v>
      </c>
      <c r="E4" s="2" t="s">
        <v>13</v>
      </c>
      <c r="F4" s="2" t="s">
        <v>14</v>
      </c>
      <c r="G4" s="2" t="s">
        <v>5</v>
      </c>
      <c r="H4" s="2">
        <v>7</v>
      </c>
      <c r="I4" s="4">
        <v>12000</v>
      </c>
      <c r="J4" s="5">
        <v>0.05</v>
      </c>
      <c r="K4" s="2" t="s">
        <v>15</v>
      </c>
      <c r="L4" s="2">
        <f>Table1[[#This Row],[Quantity]]*Table1[[#This Row],[Unit_Price]]</f>
        <v>84000</v>
      </c>
      <c r="M4" s="2">
        <f>Table1[[#This Row],[Quantity]]*Table1[[#This Row],[Unit_Price]]*(1-Table1[[#This Row],[Discount]])</f>
        <v>79800</v>
      </c>
      <c r="N4" s="2" t="str">
        <f>IF(Table1[[#This Row],[discounted_Sales]]&gt;=50000,"High value","Average")</f>
        <v>High value</v>
      </c>
    </row>
    <row r="5" spans="1:14">
      <c r="A5" s="2" t="s">
        <v>16</v>
      </c>
      <c r="B5" s="3">
        <v>46042</v>
      </c>
      <c r="C5" s="2" t="s">
        <v>1</v>
      </c>
      <c r="D5" s="2" t="s">
        <v>8</v>
      </c>
      <c r="E5" s="2" t="s">
        <v>3</v>
      </c>
      <c r="F5" s="2" t="s">
        <v>14</v>
      </c>
      <c r="G5" s="2" t="s">
        <v>5</v>
      </c>
      <c r="H5" s="2">
        <v>6</v>
      </c>
      <c r="I5" s="4">
        <v>3500</v>
      </c>
      <c r="J5" s="5">
        <v>0.1</v>
      </c>
      <c r="K5" s="2" t="s">
        <v>6</v>
      </c>
      <c r="L5" s="2">
        <f>Table1[[#This Row],[Quantity]]*Table1[[#This Row],[Unit_Price]]</f>
        <v>21000</v>
      </c>
      <c r="M5" s="2">
        <f>Table1[[#This Row],[Quantity]]*Table1[[#This Row],[Unit_Price]]*(1-Table1[[#This Row],[Discount]])</f>
        <v>18900</v>
      </c>
      <c r="N5" s="2" t="str">
        <f>IF(Table1[[#This Row],[discounted_Sales]]&gt;=50000,"High value","Average")</f>
        <v>Average</v>
      </c>
    </row>
    <row r="6" spans="1:14">
      <c r="A6" s="2" t="s">
        <v>17</v>
      </c>
      <c r="B6" s="3">
        <v>46067</v>
      </c>
      <c r="C6" s="2" t="s">
        <v>11</v>
      </c>
      <c r="D6" s="2" t="s">
        <v>8</v>
      </c>
      <c r="E6" s="2" t="s">
        <v>3</v>
      </c>
      <c r="F6" s="2" t="s">
        <v>14</v>
      </c>
      <c r="G6" s="2" t="s">
        <v>5</v>
      </c>
      <c r="H6" s="2">
        <v>2</v>
      </c>
      <c r="I6" s="4">
        <v>3500</v>
      </c>
      <c r="J6" s="5">
        <v>0.1</v>
      </c>
      <c r="K6" s="2" t="s">
        <v>18</v>
      </c>
      <c r="L6" s="2">
        <f>Table1[[#This Row],[Quantity]]*Table1[[#This Row],[Unit_Price]]</f>
        <v>7000</v>
      </c>
      <c r="M6" s="2">
        <f>Table1[[#This Row],[Quantity]]*Table1[[#This Row],[Unit_Price]]*(1-Table1[[#This Row],[Discount]])</f>
        <v>6300</v>
      </c>
      <c r="N6" s="2" t="str">
        <f>IF(Table1[[#This Row],[discounted_Sales]]&gt;=50000,"High value","Average")</f>
        <v>Average</v>
      </c>
    </row>
    <row r="7" spans="1:14">
      <c r="A7" s="2" t="s">
        <v>19</v>
      </c>
      <c r="B7" s="3">
        <v>46093</v>
      </c>
      <c r="C7" s="2" t="s">
        <v>20</v>
      </c>
      <c r="D7" s="2" t="s">
        <v>2</v>
      </c>
      <c r="E7" s="2" t="s">
        <v>3</v>
      </c>
      <c r="F7" s="2" t="s">
        <v>14</v>
      </c>
      <c r="G7" s="2" t="s">
        <v>9</v>
      </c>
      <c r="H7" s="2">
        <v>7</v>
      </c>
      <c r="I7" s="4">
        <v>800</v>
      </c>
      <c r="J7" s="5">
        <v>0</v>
      </c>
      <c r="K7" s="2" t="s">
        <v>15</v>
      </c>
      <c r="L7" s="2">
        <f>Table1[[#This Row],[Quantity]]*Table1[[#This Row],[Unit_Price]]</f>
        <v>5600</v>
      </c>
      <c r="M7" s="2">
        <f>Table1[[#This Row],[Quantity]]*Table1[[#This Row],[Unit_Price]]*(1-Table1[[#This Row],[Discount]])</f>
        <v>5600</v>
      </c>
      <c r="N7" s="2" t="str">
        <f>IF(Table1[[#This Row],[discounted_Sales]]&gt;=50000,"High value","Average")</f>
        <v>Average</v>
      </c>
    </row>
    <row r="8" spans="1:14">
      <c r="A8" s="2" t="s">
        <v>21</v>
      </c>
      <c r="B8" s="3">
        <v>46060</v>
      </c>
      <c r="C8" s="2" t="s">
        <v>22</v>
      </c>
      <c r="D8" s="2" t="s">
        <v>2</v>
      </c>
      <c r="E8" s="2" t="s">
        <v>3</v>
      </c>
      <c r="F8" s="2" t="s">
        <v>4</v>
      </c>
      <c r="G8" s="2" t="s">
        <v>5</v>
      </c>
      <c r="H8" s="2">
        <v>1</v>
      </c>
      <c r="I8" s="4">
        <v>800</v>
      </c>
      <c r="J8" s="5">
        <v>0.05</v>
      </c>
      <c r="K8" s="2" t="s">
        <v>18</v>
      </c>
      <c r="L8" s="2">
        <f>Table1[[#This Row],[Quantity]]*Table1[[#This Row],[Unit_Price]]</f>
        <v>800</v>
      </c>
      <c r="M8" s="2">
        <f>Table1[[#This Row],[Quantity]]*Table1[[#This Row],[Unit_Price]]*(1-Table1[[#This Row],[Discount]])</f>
        <v>760</v>
      </c>
      <c r="N8" s="2" t="str">
        <f>IF(Table1[[#This Row],[discounted_Sales]]&gt;=50000,"High value","Average")</f>
        <v>Average</v>
      </c>
    </row>
    <row r="9" spans="1:14">
      <c r="A9" s="2" t="s">
        <v>23</v>
      </c>
      <c r="B9" s="3">
        <v>46043</v>
      </c>
      <c r="C9" s="2" t="s">
        <v>24</v>
      </c>
      <c r="D9" s="2" t="s">
        <v>25</v>
      </c>
      <c r="E9" s="2" t="s">
        <v>3</v>
      </c>
      <c r="F9" s="2" t="s">
        <v>14</v>
      </c>
      <c r="G9" s="2" t="s">
        <v>26</v>
      </c>
      <c r="H9" s="2">
        <v>8</v>
      </c>
      <c r="I9" s="4">
        <v>2200</v>
      </c>
      <c r="J9" s="5">
        <v>0.1</v>
      </c>
      <c r="K9" s="2" t="s">
        <v>27</v>
      </c>
      <c r="L9" s="2">
        <f>Table1[[#This Row],[Quantity]]*Table1[[#This Row],[Unit_Price]]</f>
        <v>17600</v>
      </c>
      <c r="M9" s="2">
        <f>Table1[[#This Row],[Quantity]]*Table1[[#This Row],[Unit_Price]]*(1-Table1[[#This Row],[Discount]])</f>
        <v>15840</v>
      </c>
      <c r="N9" s="2" t="str">
        <f>IF(Table1[[#This Row],[discounted_Sales]]&gt;=50000,"High value","Average")</f>
        <v>Average</v>
      </c>
    </row>
    <row r="10" spans="1:14">
      <c r="A10" s="2" t="s">
        <v>28</v>
      </c>
      <c r="B10" s="3">
        <v>46043</v>
      </c>
      <c r="C10" s="2" t="s">
        <v>29</v>
      </c>
      <c r="D10" s="2" t="s">
        <v>2</v>
      </c>
      <c r="E10" s="2" t="s">
        <v>3</v>
      </c>
      <c r="F10" s="2" t="s">
        <v>30</v>
      </c>
      <c r="G10" s="2" t="s">
        <v>31</v>
      </c>
      <c r="H10" s="2">
        <v>3</v>
      </c>
      <c r="I10" s="4">
        <v>800</v>
      </c>
      <c r="J10" s="5">
        <v>0.05</v>
      </c>
      <c r="K10" s="2" t="s">
        <v>15</v>
      </c>
      <c r="L10" s="2">
        <f>Table1[[#This Row],[Quantity]]*Table1[[#This Row],[Unit_Price]]</f>
        <v>2400</v>
      </c>
      <c r="M10" s="2">
        <f>Table1[[#This Row],[Quantity]]*Table1[[#This Row],[Unit_Price]]*(1-Table1[[#This Row],[Discount]])</f>
        <v>2280</v>
      </c>
      <c r="N10" s="2" t="str">
        <f>IF(Table1[[#This Row],[discounted_Sales]]&gt;=50000,"High value","Average")</f>
        <v>Average</v>
      </c>
    </row>
    <row r="11" spans="1:14">
      <c r="A11" s="2" t="s">
        <v>32</v>
      </c>
      <c r="B11" s="3">
        <v>46027</v>
      </c>
      <c r="C11" s="2" t="s">
        <v>33</v>
      </c>
      <c r="D11" s="2" t="s">
        <v>34</v>
      </c>
      <c r="E11" s="2" t="s">
        <v>13</v>
      </c>
      <c r="F11" s="2" t="s">
        <v>14</v>
      </c>
      <c r="G11" s="2" t="s">
        <v>35</v>
      </c>
      <c r="H11" s="2">
        <v>1</v>
      </c>
      <c r="I11" s="4">
        <v>9500</v>
      </c>
      <c r="J11" s="5">
        <v>0.05</v>
      </c>
      <c r="K11" s="2" t="s">
        <v>27</v>
      </c>
      <c r="L11" s="2">
        <f>Table1[[#This Row],[Quantity]]*Table1[[#This Row],[Unit_Price]]</f>
        <v>9500</v>
      </c>
      <c r="M11" s="2">
        <f>Table1[[#This Row],[Quantity]]*Table1[[#This Row],[Unit_Price]]*(1-Table1[[#This Row],[Discount]])</f>
        <v>9025</v>
      </c>
      <c r="N11" s="2" t="str">
        <f>IF(Table1[[#This Row],[discounted_Sales]]&gt;=50000,"High value","Average")</f>
        <v>Average</v>
      </c>
    </row>
    <row r="12" spans="1:14">
      <c r="A12" s="2" t="s">
        <v>36</v>
      </c>
      <c r="B12" s="3">
        <v>46050</v>
      </c>
      <c r="C12" s="2" t="s">
        <v>37</v>
      </c>
      <c r="D12" s="2" t="s">
        <v>2</v>
      </c>
      <c r="E12" s="2" t="s">
        <v>3</v>
      </c>
      <c r="F12" s="2" t="s">
        <v>30</v>
      </c>
      <c r="G12" s="2" t="s">
        <v>35</v>
      </c>
      <c r="H12" s="2">
        <v>4</v>
      </c>
      <c r="I12" s="4">
        <v>800</v>
      </c>
      <c r="J12" s="5">
        <v>0.1</v>
      </c>
      <c r="K12" s="2" t="s">
        <v>18</v>
      </c>
      <c r="L12" s="2">
        <f>Table1[[#This Row],[Quantity]]*Table1[[#This Row],[Unit_Price]]</f>
        <v>3200</v>
      </c>
      <c r="M12" s="2">
        <f>Table1[[#This Row],[Quantity]]*Table1[[#This Row],[Unit_Price]]*(1-Table1[[#This Row],[Discount]])</f>
        <v>2880</v>
      </c>
      <c r="N12" s="2" t="str">
        <f>IF(Table1[[#This Row],[discounted_Sales]]&gt;=50000,"High value","Average")</f>
        <v>Average</v>
      </c>
    </row>
    <row r="13" spans="1:14">
      <c r="A13" s="2" t="s">
        <v>38</v>
      </c>
      <c r="B13" s="3">
        <v>46054</v>
      </c>
      <c r="C13" s="2" t="s">
        <v>39</v>
      </c>
      <c r="D13" s="2" t="s">
        <v>40</v>
      </c>
      <c r="E13" s="2" t="s">
        <v>3</v>
      </c>
      <c r="F13" s="2" t="s">
        <v>14</v>
      </c>
      <c r="G13" s="2" t="s">
        <v>9</v>
      </c>
      <c r="H13" s="2">
        <v>5</v>
      </c>
      <c r="I13" s="4">
        <v>1500</v>
      </c>
      <c r="J13" s="5">
        <v>0.05</v>
      </c>
      <c r="K13" s="2" t="s">
        <v>18</v>
      </c>
      <c r="L13" s="2">
        <f>Table1[[#This Row],[Quantity]]*Table1[[#This Row],[Unit_Price]]</f>
        <v>7500</v>
      </c>
      <c r="M13" s="2">
        <f>Table1[[#This Row],[Quantity]]*Table1[[#This Row],[Unit_Price]]*(1-Table1[[#This Row],[Discount]])</f>
        <v>7125</v>
      </c>
      <c r="N13" s="2" t="str">
        <f>IF(Table1[[#This Row],[discounted_Sales]]&gt;=50000,"High value","Average")</f>
        <v>Average</v>
      </c>
    </row>
    <row r="14" spans="1:14">
      <c r="A14" s="2" t="s">
        <v>41</v>
      </c>
      <c r="B14" s="3">
        <v>46040</v>
      </c>
      <c r="C14" s="2" t="s">
        <v>42</v>
      </c>
      <c r="D14" s="2" t="s">
        <v>8</v>
      </c>
      <c r="E14" s="2" t="s">
        <v>3</v>
      </c>
      <c r="F14" s="2" t="s">
        <v>30</v>
      </c>
      <c r="G14" s="2" t="s">
        <v>5</v>
      </c>
      <c r="H14" s="2">
        <v>6</v>
      </c>
      <c r="I14" s="4">
        <v>3500</v>
      </c>
      <c r="J14" s="5">
        <v>0.05</v>
      </c>
      <c r="K14" s="2" t="s">
        <v>6</v>
      </c>
      <c r="L14" s="2">
        <f>Table1[[#This Row],[Quantity]]*Table1[[#This Row],[Unit_Price]]</f>
        <v>21000</v>
      </c>
      <c r="M14" s="2">
        <f>Table1[[#This Row],[Quantity]]*Table1[[#This Row],[Unit_Price]]*(1-Table1[[#This Row],[Discount]])</f>
        <v>19950</v>
      </c>
      <c r="N14" s="2" t="str">
        <f>IF(Table1[[#This Row],[discounted_Sales]]&gt;=50000,"High value","Average")</f>
        <v>Average</v>
      </c>
    </row>
    <row r="15" spans="1:14">
      <c r="A15" s="2" t="s">
        <v>43</v>
      </c>
      <c r="B15" s="3">
        <v>46110</v>
      </c>
      <c r="C15" s="2" t="s">
        <v>44</v>
      </c>
      <c r="D15" s="2" t="s">
        <v>2</v>
      </c>
      <c r="E15" s="2" t="s">
        <v>3</v>
      </c>
      <c r="F15" s="2" t="s">
        <v>45</v>
      </c>
      <c r="G15" s="2" t="s">
        <v>35</v>
      </c>
      <c r="H15" s="2">
        <v>3</v>
      </c>
      <c r="I15" s="4">
        <v>800</v>
      </c>
      <c r="J15" s="5">
        <v>0.05</v>
      </c>
      <c r="K15" s="2" t="s">
        <v>18</v>
      </c>
      <c r="L15" s="2">
        <f>Table1[[#This Row],[Quantity]]*Table1[[#This Row],[Unit_Price]]</f>
        <v>2400</v>
      </c>
      <c r="M15" s="2">
        <f>Table1[[#This Row],[Quantity]]*Table1[[#This Row],[Unit_Price]]*(1-Table1[[#This Row],[Discount]])</f>
        <v>2280</v>
      </c>
      <c r="N15" s="2" t="str">
        <f>IF(Table1[[#This Row],[discounted_Sales]]&gt;=50000,"High value","Average")</f>
        <v>Average</v>
      </c>
    </row>
    <row r="16" spans="1:14">
      <c r="A16" s="2" t="s">
        <v>46</v>
      </c>
      <c r="B16" s="3">
        <v>46110</v>
      </c>
      <c r="C16" s="2" t="s">
        <v>39</v>
      </c>
      <c r="D16" s="2" t="s">
        <v>47</v>
      </c>
      <c r="E16" s="2" t="s">
        <v>13</v>
      </c>
      <c r="F16" s="2" t="s">
        <v>45</v>
      </c>
      <c r="G16" s="2" t="s">
        <v>9</v>
      </c>
      <c r="H16" s="2">
        <v>5</v>
      </c>
      <c r="I16" s="4">
        <v>6500</v>
      </c>
      <c r="J16" s="5">
        <v>0</v>
      </c>
      <c r="K16" s="2" t="s">
        <v>27</v>
      </c>
      <c r="L16" s="2">
        <f>Table1[[#This Row],[Quantity]]*Table1[[#This Row],[Unit_Price]]</f>
        <v>32500</v>
      </c>
      <c r="M16" s="2">
        <f>Table1[[#This Row],[Quantity]]*Table1[[#This Row],[Unit_Price]]*(1-Table1[[#This Row],[Discount]])</f>
        <v>32500</v>
      </c>
      <c r="N16" s="2" t="str">
        <f>IF(Table1[[#This Row],[discounted_Sales]]&gt;=50000,"High value","Average")</f>
        <v>Average</v>
      </c>
    </row>
    <row r="17" spans="1:14">
      <c r="A17" s="2" t="s">
        <v>48</v>
      </c>
      <c r="B17" s="3">
        <v>46078</v>
      </c>
      <c r="C17" s="2" t="s">
        <v>49</v>
      </c>
      <c r="D17" s="2" t="s">
        <v>34</v>
      </c>
      <c r="E17" s="2" t="s">
        <v>13</v>
      </c>
      <c r="F17" s="2" t="s">
        <v>30</v>
      </c>
      <c r="G17" s="2" t="s">
        <v>5</v>
      </c>
      <c r="H17" s="2">
        <v>2</v>
      </c>
      <c r="I17" s="4">
        <v>9500</v>
      </c>
      <c r="J17" s="5">
        <v>0.1</v>
      </c>
      <c r="K17" s="2" t="s">
        <v>27</v>
      </c>
      <c r="L17" s="2">
        <f>Table1[[#This Row],[Quantity]]*Table1[[#This Row],[Unit_Price]]</f>
        <v>19000</v>
      </c>
      <c r="M17" s="2">
        <f>Table1[[#This Row],[Quantity]]*Table1[[#This Row],[Unit_Price]]*(1-Table1[[#This Row],[Discount]])</f>
        <v>17100</v>
      </c>
      <c r="N17" s="2" t="str">
        <f>IF(Table1[[#This Row],[discounted_Sales]]&gt;=50000,"High value","Average")</f>
        <v>Average</v>
      </c>
    </row>
    <row r="18" spans="1:14">
      <c r="A18" s="2" t="s">
        <v>50</v>
      </c>
      <c r="B18" s="3">
        <v>46104</v>
      </c>
      <c r="C18" s="2" t="s">
        <v>42</v>
      </c>
      <c r="D18" s="2" t="s">
        <v>40</v>
      </c>
      <c r="E18" s="2" t="s">
        <v>3</v>
      </c>
      <c r="F18" s="2" t="s">
        <v>4</v>
      </c>
      <c r="G18" s="2" t="s">
        <v>26</v>
      </c>
      <c r="H18" s="2">
        <v>2</v>
      </c>
      <c r="I18" s="4">
        <v>1500</v>
      </c>
      <c r="J18" s="5">
        <v>0.1</v>
      </c>
      <c r="K18" s="2" t="s">
        <v>27</v>
      </c>
      <c r="L18" s="2">
        <f>Table1[[#This Row],[Quantity]]*Table1[[#This Row],[Unit_Price]]</f>
        <v>3000</v>
      </c>
      <c r="M18" s="2">
        <f>Table1[[#This Row],[Quantity]]*Table1[[#This Row],[Unit_Price]]*(1-Table1[[#This Row],[Discount]])</f>
        <v>2700</v>
      </c>
      <c r="N18" s="2" t="str">
        <f>IF(Table1[[#This Row],[discounted_Sales]]&gt;=50000,"High value","Average")</f>
        <v>Average</v>
      </c>
    </row>
    <row r="19" spans="1:14">
      <c r="A19" s="2" t="s">
        <v>51</v>
      </c>
      <c r="B19" s="3">
        <v>46085</v>
      </c>
      <c r="C19" s="2" t="s">
        <v>52</v>
      </c>
      <c r="D19" s="2" t="s">
        <v>40</v>
      </c>
      <c r="E19" s="2" t="s">
        <v>3</v>
      </c>
      <c r="F19" s="2" t="s">
        <v>45</v>
      </c>
      <c r="G19" s="2" t="s">
        <v>31</v>
      </c>
      <c r="H19" s="2">
        <v>1</v>
      </c>
      <c r="I19" s="4">
        <v>1500</v>
      </c>
      <c r="J19" s="5">
        <v>0.1</v>
      </c>
      <c r="K19" s="2" t="s">
        <v>27</v>
      </c>
      <c r="L19" s="2">
        <f>Table1[[#This Row],[Quantity]]*Table1[[#This Row],[Unit_Price]]</f>
        <v>1500</v>
      </c>
      <c r="M19" s="2">
        <f>Table1[[#This Row],[Quantity]]*Table1[[#This Row],[Unit_Price]]*(1-Table1[[#This Row],[Discount]])</f>
        <v>1350</v>
      </c>
      <c r="N19" s="2" t="str">
        <f>IF(Table1[[#This Row],[discounted_Sales]]&gt;=50000,"High value","Average")</f>
        <v>Average</v>
      </c>
    </row>
    <row r="20" spans="1:14">
      <c r="A20" s="2" t="s">
        <v>53</v>
      </c>
      <c r="B20" s="3">
        <v>46095</v>
      </c>
      <c r="C20" s="2" t="s">
        <v>22</v>
      </c>
      <c r="D20" s="2" t="s">
        <v>12</v>
      </c>
      <c r="E20" s="2" t="s">
        <v>13</v>
      </c>
      <c r="F20" s="2" t="s">
        <v>45</v>
      </c>
      <c r="G20" s="2" t="s">
        <v>35</v>
      </c>
      <c r="H20" s="2">
        <v>1</v>
      </c>
      <c r="I20" s="4">
        <v>12000</v>
      </c>
      <c r="J20" s="5">
        <v>0.05</v>
      </c>
      <c r="K20" s="2" t="s">
        <v>6</v>
      </c>
      <c r="L20" s="2">
        <f>Table1[[#This Row],[Quantity]]*Table1[[#This Row],[Unit_Price]]</f>
        <v>12000</v>
      </c>
      <c r="M20" s="2">
        <f>Table1[[#This Row],[Quantity]]*Table1[[#This Row],[Unit_Price]]*(1-Table1[[#This Row],[Discount]])</f>
        <v>11400</v>
      </c>
      <c r="N20" s="2" t="str">
        <f>IF(Table1[[#This Row],[discounted_Sales]]&gt;=50000,"High value","Average")</f>
        <v>Average</v>
      </c>
    </row>
    <row r="21" spans="1:14">
      <c r="A21" s="2" t="s">
        <v>54</v>
      </c>
      <c r="B21" s="3">
        <v>46093</v>
      </c>
      <c r="C21" s="2" t="s">
        <v>49</v>
      </c>
      <c r="D21" s="2" t="s">
        <v>40</v>
      </c>
      <c r="E21" s="2" t="s">
        <v>3</v>
      </c>
      <c r="F21" s="2" t="s">
        <v>14</v>
      </c>
      <c r="G21" s="2" t="s">
        <v>9</v>
      </c>
      <c r="H21" s="2">
        <v>3</v>
      </c>
      <c r="I21" s="4">
        <v>1500</v>
      </c>
      <c r="J21" s="5">
        <v>0.15</v>
      </c>
      <c r="K21" s="2" t="s">
        <v>18</v>
      </c>
      <c r="L21" s="2">
        <f>Table1[[#This Row],[Quantity]]*Table1[[#This Row],[Unit_Price]]</f>
        <v>4500</v>
      </c>
      <c r="M21" s="2">
        <f>Table1[[#This Row],[Quantity]]*Table1[[#This Row],[Unit_Price]]*(1-Table1[[#This Row],[Discount]])</f>
        <v>3825</v>
      </c>
      <c r="N21" s="2" t="str">
        <f>IF(Table1[[#This Row],[discounted_Sales]]&gt;=50000,"High value","Average")</f>
        <v>Average</v>
      </c>
    </row>
    <row r="22" spans="1:14">
      <c r="A22" s="2" t="s">
        <v>55</v>
      </c>
      <c r="B22" s="3">
        <v>46074</v>
      </c>
      <c r="C22" s="2" t="s">
        <v>37</v>
      </c>
      <c r="D22" s="2" t="s">
        <v>12</v>
      </c>
      <c r="E22" s="2" t="s">
        <v>13</v>
      </c>
      <c r="F22" s="2" t="s">
        <v>14</v>
      </c>
      <c r="G22" s="2" t="s">
        <v>35</v>
      </c>
      <c r="H22" s="2">
        <v>4</v>
      </c>
      <c r="I22" s="4">
        <v>12000</v>
      </c>
      <c r="J22" s="5">
        <v>0.1</v>
      </c>
      <c r="K22" s="2" t="s">
        <v>18</v>
      </c>
      <c r="L22" s="2">
        <f>Table1[[#This Row],[Quantity]]*Table1[[#This Row],[Unit_Price]]</f>
        <v>48000</v>
      </c>
      <c r="M22" s="2">
        <f>Table1[[#This Row],[Quantity]]*Table1[[#This Row],[Unit_Price]]*(1-Table1[[#This Row],[Discount]])</f>
        <v>43200</v>
      </c>
      <c r="N22" s="2" t="str">
        <f>IF(Table1[[#This Row],[discounted_Sales]]&gt;=50000,"High value","Average")</f>
        <v>Average</v>
      </c>
    </row>
    <row r="23" spans="1:14">
      <c r="A23" s="2" t="s">
        <v>56</v>
      </c>
      <c r="B23" s="3">
        <v>46031</v>
      </c>
      <c r="C23" s="2" t="s">
        <v>24</v>
      </c>
      <c r="D23" s="2" t="s">
        <v>2</v>
      </c>
      <c r="E23" s="2" t="s">
        <v>3</v>
      </c>
      <c r="F23" s="2" t="s">
        <v>45</v>
      </c>
      <c r="G23" s="2" t="s">
        <v>9</v>
      </c>
      <c r="H23" s="2">
        <v>4</v>
      </c>
      <c r="I23" s="4">
        <v>800</v>
      </c>
      <c r="J23" s="5">
        <v>0.05</v>
      </c>
      <c r="K23" s="2" t="s">
        <v>15</v>
      </c>
      <c r="L23" s="2">
        <f>Table1[[#This Row],[Quantity]]*Table1[[#This Row],[Unit_Price]]</f>
        <v>3200</v>
      </c>
      <c r="M23" s="2">
        <f>Table1[[#This Row],[Quantity]]*Table1[[#This Row],[Unit_Price]]*(1-Table1[[#This Row],[Discount]])</f>
        <v>3040</v>
      </c>
      <c r="N23" s="2" t="str">
        <f>IF(Table1[[#This Row],[discounted_Sales]]&gt;=50000,"High value","Average")</f>
        <v>Average</v>
      </c>
    </row>
    <row r="24" spans="1:14">
      <c r="A24" s="2" t="s">
        <v>57</v>
      </c>
      <c r="B24" s="3">
        <v>46103</v>
      </c>
      <c r="C24" s="2" t="s">
        <v>52</v>
      </c>
      <c r="D24" s="2" t="s">
        <v>12</v>
      </c>
      <c r="E24" s="2" t="s">
        <v>13</v>
      </c>
      <c r="F24" s="2" t="s">
        <v>4</v>
      </c>
      <c r="G24" s="2" t="s">
        <v>5</v>
      </c>
      <c r="H24" s="2">
        <v>1</v>
      </c>
      <c r="I24" s="4">
        <v>12000</v>
      </c>
      <c r="J24" s="5">
        <v>0</v>
      </c>
      <c r="K24" s="2" t="s">
        <v>6</v>
      </c>
      <c r="L24" s="2">
        <f>Table1[[#This Row],[Quantity]]*Table1[[#This Row],[Unit_Price]]</f>
        <v>12000</v>
      </c>
      <c r="M24" s="2">
        <f>Table1[[#This Row],[Quantity]]*Table1[[#This Row],[Unit_Price]]*(1-Table1[[#This Row],[Discount]])</f>
        <v>12000</v>
      </c>
      <c r="N24" s="2" t="str">
        <f>IF(Table1[[#This Row],[discounted_Sales]]&gt;=50000,"High value","Average")</f>
        <v>Average</v>
      </c>
    </row>
    <row r="25" spans="1:14">
      <c r="A25" s="2" t="s">
        <v>58</v>
      </c>
      <c r="B25" s="3">
        <v>46058</v>
      </c>
      <c r="C25" s="2" t="s">
        <v>37</v>
      </c>
      <c r="D25" s="2" t="s">
        <v>34</v>
      </c>
      <c r="E25" s="2" t="s">
        <v>13</v>
      </c>
      <c r="F25" s="2" t="s">
        <v>30</v>
      </c>
      <c r="G25" s="2" t="s">
        <v>26</v>
      </c>
      <c r="H25" s="2">
        <v>2</v>
      </c>
      <c r="I25" s="4">
        <v>9500</v>
      </c>
      <c r="J25" s="5">
        <v>0.05</v>
      </c>
      <c r="K25" s="2" t="s">
        <v>15</v>
      </c>
      <c r="L25" s="2">
        <f>Table1[[#This Row],[Quantity]]*Table1[[#This Row],[Unit_Price]]</f>
        <v>19000</v>
      </c>
      <c r="M25" s="2">
        <f>Table1[[#This Row],[Quantity]]*Table1[[#This Row],[Unit_Price]]*(1-Table1[[#This Row],[Discount]])</f>
        <v>18050</v>
      </c>
      <c r="N25" s="2" t="str">
        <f>IF(Table1[[#This Row],[discounted_Sales]]&gt;=50000,"High value","Average")</f>
        <v>Average</v>
      </c>
    </row>
    <row r="26" spans="1:14">
      <c r="A26" s="2" t="s">
        <v>59</v>
      </c>
      <c r="B26" s="3">
        <v>46075</v>
      </c>
      <c r="C26" s="2" t="s">
        <v>1</v>
      </c>
      <c r="D26" s="2" t="s">
        <v>47</v>
      </c>
      <c r="E26" s="2" t="s">
        <v>13</v>
      </c>
      <c r="F26" s="2" t="s">
        <v>45</v>
      </c>
      <c r="G26" s="2" t="s">
        <v>5</v>
      </c>
      <c r="H26" s="2">
        <v>4</v>
      </c>
      <c r="I26" s="4">
        <v>6500</v>
      </c>
      <c r="J26" s="5">
        <v>0.15</v>
      </c>
      <c r="K26" s="2" t="s">
        <v>18</v>
      </c>
      <c r="L26" s="2">
        <f>Table1[[#This Row],[Quantity]]*Table1[[#This Row],[Unit_Price]]</f>
        <v>26000</v>
      </c>
      <c r="M26" s="2">
        <f>Table1[[#This Row],[Quantity]]*Table1[[#This Row],[Unit_Price]]*(1-Table1[[#This Row],[Discount]])</f>
        <v>22100</v>
      </c>
      <c r="N26" s="2" t="str">
        <f>IF(Table1[[#This Row],[discounted_Sales]]&gt;=50000,"High value","Average")</f>
        <v>Average</v>
      </c>
    </row>
    <row r="27" spans="1:14">
      <c r="A27" s="2" t="s">
        <v>60</v>
      </c>
      <c r="B27" s="3">
        <v>46082</v>
      </c>
      <c r="C27" s="2" t="s">
        <v>61</v>
      </c>
      <c r="D27" s="2" t="s">
        <v>34</v>
      </c>
      <c r="E27" s="2" t="s">
        <v>13</v>
      </c>
      <c r="F27" s="2" t="s">
        <v>45</v>
      </c>
      <c r="G27" s="2" t="s">
        <v>5</v>
      </c>
      <c r="H27" s="2">
        <v>7</v>
      </c>
      <c r="I27" s="4">
        <v>9500</v>
      </c>
      <c r="J27" s="5">
        <v>0.15</v>
      </c>
      <c r="K27" s="2" t="s">
        <v>6</v>
      </c>
      <c r="L27" s="2">
        <f>Table1[[#This Row],[Quantity]]*Table1[[#This Row],[Unit_Price]]</f>
        <v>66500</v>
      </c>
      <c r="M27" s="2">
        <f>Table1[[#This Row],[Quantity]]*Table1[[#This Row],[Unit_Price]]*(1-Table1[[#This Row],[Discount]])</f>
        <v>56525</v>
      </c>
      <c r="N27" s="2" t="str">
        <f>IF(Table1[[#This Row],[discounted_Sales]]&gt;=50000,"High value","Average")</f>
        <v>High value</v>
      </c>
    </row>
    <row r="28" spans="1:14">
      <c r="A28" s="2" t="s">
        <v>62</v>
      </c>
      <c r="B28" s="3">
        <v>46054</v>
      </c>
      <c r="C28" s="2" t="s">
        <v>1</v>
      </c>
      <c r="D28" s="2" t="s">
        <v>8</v>
      </c>
      <c r="E28" s="2" t="s">
        <v>3</v>
      </c>
      <c r="F28" s="2" t="s">
        <v>4</v>
      </c>
      <c r="G28" s="2" t="s">
        <v>9</v>
      </c>
      <c r="H28" s="2">
        <v>6</v>
      </c>
      <c r="I28" s="4">
        <v>3500</v>
      </c>
      <c r="J28" s="5">
        <v>0</v>
      </c>
      <c r="K28" s="2" t="s">
        <v>18</v>
      </c>
      <c r="L28" s="2">
        <f>Table1[[#This Row],[Quantity]]*Table1[[#This Row],[Unit_Price]]</f>
        <v>21000</v>
      </c>
      <c r="M28" s="2">
        <f>Table1[[#This Row],[Quantity]]*Table1[[#This Row],[Unit_Price]]*(1-Table1[[#This Row],[Discount]])</f>
        <v>21000</v>
      </c>
      <c r="N28" s="2" t="str">
        <f>IF(Table1[[#This Row],[discounted_Sales]]&gt;=50000,"High value","Average")</f>
        <v>Average</v>
      </c>
    </row>
    <row r="29" spans="1:14">
      <c r="A29" s="2" t="s">
        <v>63</v>
      </c>
      <c r="B29" s="3">
        <v>46058</v>
      </c>
      <c r="C29" s="2" t="s">
        <v>29</v>
      </c>
      <c r="D29" s="2" t="s">
        <v>40</v>
      </c>
      <c r="E29" s="2" t="s">
        <v>3</v>
      </c>
      <c r="F29" s="2" t="s">
        <v>4</v>
      </c>
      <c r="G29" s="2" t="s">
        <v>5</v>
      </c>
      <c r="H29" s="2">
        <v>7</v>
      </c>
      <c r="I29" s="4">
        <v>1500</v>
      </c>
      <c r="J29" s="5">
        <v>0.05</v>
      </c>
      <c r="K29" s="2" t="s">
        <v>18</v>
      </c>
      <c r="L29" s="2">
        <f>Table1[[#This Row],[Quantity]]*Table1[[#This Row],[Unit_Price]]</f>
        <v>10500</v>
      </c>
      <c r="M29" s="2">
        <f>Table1[[#This Row],[Quantity]]*Table1[[#This Row],[Unit_Price]]*(1-Table1[[#This Row],[Discount]])</f>
        <v>9975</v>
      </c>
      <c r="N29" s="2" t="str">
        <f>IF(Table1[[#This Row],[discounted_Sales]]&gt;=50000,"High value","Average")</f>
        <v>Average</v>
      </c>
    </row>
    <row r="30" spans="1:14">
      <c r="A30" s="2" t="s">
        <v>64</v>
      </c>
      <c r="B30" s="3">
        <v>46034</v>
      </c>
      <c r="C30" s="2" t="s">
        <v>65</v>
      </c>
      <c r="D30" s="2" t="s">
        <v>2</v>
      </c>
      <c r="E30" s="2" t="s">
        <v>3</v>
      </c>
      <c r="F30" s="2" t="s">
        <v>4</v>
      </c>
      <c r="G30" s="2" t="s">
        <v>26</v>
      </c>
      <c r="H30" s="2">
        <v>1</v>
      </c>
      <c r="I30" s="4">
        <v>800</v>
      </c>
      <c r="J30" s="5">
        <v>0</v>
      </c>
      <c r="K30" s="2" t="s">
        <v>18</v>
      </c>
      <c r="L30" s="2">
        <f>Table1[[#This Row],[Quantity]]*Table1[[#This Row],[Unit_Price]]</f>
        <v>800</v>
      </c>
      <c r="M30" s="2">
        <f>Table1[[#This Row],[Quantity]]*Table1[[#This Row],[Unit_Price]]*(1-Table1[[#This Row],[Discount]])</f>
        <v>800</v>
      </c>
      <c r="N30" s="2" t="str">
        <f>IF(Table1[[#This Row],[discounted_Sales]]&gt;=50000,"High value","Average")</f>
        <v>Average</v>
      </c>
    </row>
    <row r="31" spans="1:14">
      <c r="A31" s="2" t="s">
        <v>66</v>
      </c>
      <c r="B31" s="3">
        <v>46074</v>
      </c>
      <c r="C31" s="2" t="s">
        <v>65</v>
      </c>
      <c r="D31" s="2" t="s">
        <v>47</v>
      </c>
      <c r="E31" s="2" t="s">
        <v>13</v>
      </c>
      <c r="F31" s="2" t="s">
        <v>45</v>
      </c>
      <c r="G31" s="2" t="s">
        <v>26</v>
      </c>
      <c r="H31" s="2">
        <v>8</v>
      </c>
      <c r="I31" s="4">
        <v>6500</v>
      </c>
      <c r="J31" s="5">
        <v>0.05</v>
      </c>
      <c r="K31" s="2" t="s">
        <v>18</v>
      </c>
      <c r="L31" s="2">
        <f>Table1[[#This Row],[Quantity]]*Table1[[#This Row],[Unit_Price]]</f>
        <v>52000</v>
      </c>
      <c r="M31" s="2">
        <f>Table1[[#This Row],[Quantity]]*Table1[[#This Row],[Unit_Price]]*(1-Table1[[#This Row],[Discount]])</f>
        <v>49400</v>
      </c>
      <c r="N31" s="2" t="str">
        <f>IF(Table1[[#This Row],[discounted_Sales]]&gt;=50000,"High value","Average")</f>
        <v>Average</v>
      </c>
    </row>
    <row r="32" spans="1:14">
      <c r="A32" s="2" t="s">
        <v>67</v>
      </c>
      <c r="B32" s="3">
        <v>46081</v>
      </c>
      <c r="C32" s="2" t="s">
        <v>20</v>
      </c>
      <c r="D32" s="2" t="s">
        <v>68</v>
      </c>
      <c r="E32" s="2" t="s">
        <v>13</v>
      </c>
      <c r="F32" s="2" t="s">
        <v>30</v>
      </c>
      <c r="G32" s="2" t="s">
        <v>9</v>
      </c>
      <c r="H32" s="2">
        <v>7</v>
      </c>
      <c r="I32" s="4">
        <v>55000</v>
      </c>
      <c r="J32" s="5">
        <v>0.1</v>
      </c>
      <c r="K32" s="2" t="s">
        <v>18</v>
      </c>
      <c r="L32" s="2">
        <f>Table1[[#This Row],[Quantity]]*Table1[[#This Row],[Unit_Price]]</f>
        <v>385000</v>
      </c>
      <c r="M32" s="2">
        <f>Table1[[#This Row],[Quantity]]*Table1[[#This Row],[Unit_Price]]*(1-Table1[[#This Row],[Discount]])</f>
        <v>346500</v>
      </c>
      <c r="N32" s="2" t="str">
        <f>IF(Table1[[#This Row],[discounted_Sales]]&gt;=50000,"High value","Average")</f>
        <v>High value</v>
      </c>
    </row>
    <row r="33" spans="1:14">
      <c r="A33" s="2" t="s">
        <v>69</v>
      </c>
      <c r="B33" s="3">
        <v>46050</v>
      </c>
      <c r="C33" s="2" t="s">
        <v>52</v>
      </c>
      <c r="D33" s="2" t="s">
        <v>40</v>
      </c>
      <c r="E33" s="2" t="s">
        <v>3</v>
      </c>
      <c r="F33" s="2" t="s">
        <v>45</v>
      </c>
      <c r="G33" s="2" t="s">
        <v>31</v>
      </c>
      <c r="H33" s="2">
        <v>4</v>
      </c>
      <c r="I33" s="4">
        <v>1500</v>
      </c>
      <c r="J33" s="5">
        <v>0.1</v>
      </c>
      <c r="K33" s="2" t="s">
        <v>6</v>
      </c>
      <c r="L33" s="2">
        <f>Table1[[#This Row],[Quantity]]*Table1[[#This Row],[Unit_Price]]</f>
        <v>6000</v>
      </c>
      <c r="M33" s="2">
        <f>Table1[[#This Row],[Quantity]]*Table1[[#This Row],[Unit_Price]]*(1-Table1[[#This Row],[Discount]])</f>
        <v>5400</v>
      </c>
      <c r="N33" s="2" t="str">
        <f>IF(Table1[[#This Row],[discounted_Sales]]&gt;=50000,"High value","Average")</f>
        <v>Average</v>
      </c>
    </row>
    <row r="34" spans="1:14">
      <c r="A34" s="2" t="s">
        <v>70</v>
      </c>
      <c r="B34" s="3">
        <v>46030</v>
      </c>
      <c r="C34" s="2" t="s">
        <v>42</v>
      </c>
      <c r="D34" s="2" t="s">
        <v>68</v>
      </c>
      <c r="E34" s="2" t="s">
        <v>13</v>
      </c>
      <c r="F34" s="2" t="s">
        <v>45</v>
      </c>
      <c r="G34" s="2" t="s">
        <v>26</v>
      </c>
      <c r="H34" s="2">
        <v>8</v>
      </c>
      <c r="I34" s="4">
        <v>55000</v>
      </c>
      <c r="J34" s="5">
        <v>0.05</v>
      </c>
      <c r="K34" s="2" t="s">
        <v>6</v>
      </c>
      <c r="L34" s="2">
        <f>Table1[[#This Row],[Quantity]]*Table1[[#This Row],[Unit_Price]]</f>
        <v>440000</v>
      </c>
      <c r="M34" s="2">
        <f>Table1[[#This Row],[Quantity]]*Table1[[#This Row],[Unit_Price]]*(1-Table1[[#This Row],[Discount]])</f>
        <v>418000</v>
      </c>
      <c r="N34" s="2" t="str">
        <f>IF(Table1[[#This Row],[discounted_Sales]]&gt;=50000,"High value","Average")</f>
        <v>High value</v>
      </c>
    </row>
    <row r="35" spans="1:14">
      <c r="A35" s="2" t="s">
        <v>71</v>
      </c>
      <c r="B35" s="3">
        <v>46038</v>
      </c>
      <c r="C35" s="2" t="s">
        <v>65</v>
      </c>
      <c r="D35" s="2" t="s">
        <v>2</v>
      </c>
      <c r="E35" s="2" t="s">
        <v>3</v>
      </c>
      <c r="F35" s="2" t="s">
        <v>4</v>
      </c>
      <c r="G35" s="2" t="s">
        <v>9</v>
      </c>
      <c r="H35" s="2">
        <v>4</v>
      </c>
      <c r="I35" s="4">
        <v>800</v>
      </c>
      <c r="J35" s="5">
        <v>0.15</v>
      </c>
      <c r="K35" s="2" t="s">
        <v>6</v>
      </c>
      <c r="L35" s="2">
        <f>Table1[[#This Row],[Quantity]]*Table1[[#This Row],[Unit_Price]]</f>
        <v>3200</v>
      </c>
      <c r="M35" s="2">
        <f>Table1[[#This Row],[Quantity]]*Table1[[#This Row],[Unit_Price]]*(1-Table1[[#This Row],[Discount]])</f>
        <v>2720</v>
      </c>
      <c r="N35" s="2" t="str">
        <f>IF(Table1[[#This Row],[discounted_Sales]]&gt;=50000,"High value","Average")</f>
        <v>Average</v>
      </c>
    </row>
    <row r="36" spans="1:14">
      <c r="A36" s="2" t="s">
        <v>72</v>
      </c>
      <c r="B36" s="3">
        <v>46056</v>
      </c>
      <c r="C36" s="2" t="s">
        <v>1</v>
      </c>
      <c r="D36" s="2" t="s">
        <v>2</v>
      </c>
      <c r="E36" s="2" t="s">
        <v>3</v>
      </c>
      <c r="F36" s="2" t="s">
        <v>14</v>
      </c>
      <c r="G36" s="2" t="s">
        <v>26</v>
      </c>
      <c r="H36" s="2">
        <v>7</v>
      </c>
      <c r="I36" s="4">
        <v>800</v>
      </c>
      <c r="J36" s="5">
        <v>0.1</v>
      </c>
      <c r="K36" s="2" t="s">
        <v>27</v>
      </c>
      <c r="L36" s="2">
        <f>Table1[[#This Row],[Quantity]]*Table1[[#This Row],[Unit_Price]]</f>
        <v>5600</v>
      </c>
      <c r="M36" s="2">
        <f>Table1[[#This Row],[Quantity]]*Table1[[#This Row],[Unit_Price]]*(1-Table1[[#This Row],[Discount]])</f>
        <v>5040</v>
      </c>
      <c r="N36" s="2" t="str">
        <f>IF(Table1[[#This Row],[discounted_Sales]]&gt;=50000,"High value","Average")</f>
        <v>Average</v>
      </c>
    </row>
    <row r="37" spans="1:14">
      <c r="A37" s="2" t="s">
        <v>73</v>
      </c>
      <c r="B37" s="3">
        <v>46081</v>
      </c>
      <c r="C37" s="2" t="s">
        <v>24</v>
      </c>
      <c r="D37" s="2" t="s">
        <v>8</v>
      </c>
      <c r="E37" s="2" t="s">
        <v>3</v>
      </c>
      <c r="F37" s="2" t="s">
        <v>45</v>
      </c>
      <c r="G37" s="2" t="s">
        <v>5</v>
      </c>
      <c r="H37" s="2">
        <v>3</v>
      </c>
      <c r="I37" s="4">
        <v>3500</v>
      </c>
      <c r="J37" s="5">
        <v>0.1</v>
      </c>
      <c r="K37" s="2" t="s">
        <v>18</v>
      </c>
      <c r="L37" s="2">
        <f>Table1[[#This Row],[Quantity]]*Table1[[#This Row],[Unit_Price]]</f>
        <v>10500</v>
      </c>
      <c r="M37" s="2">
        <f>Table1[[#This Row],[Quantity]]*Table1[[#This Row],[Unit_Price]]*(1-Table1[[#This Row],[Discount]])</f>
        <v>9450</v>
      </c>
      <c r="N37" s="2" t="str">
        <f>IF(Table1[[#This Row],[discounted_Sales]]&gt;=50000,"High value","Average")</f>
        <v>Average</v>
      </c>
    </row>
    <row r="38" spans="1:14">
      <c r="A38" s="2" t="s">
        <v>74</v>
      </c>
      <c r="B38" s="3">
        <v>46087</v>
      </c>
      <c r="C38" s="2" t="s">
        <v>20</v>
      </c>
      <c r="D38" s="2" t="s">
        <v>2</v>
      </c>
      <c r="E38" s="2" t="s">
        <v>3</v>
      </c>
      <c r="F38" s="2" t="s">
        <v>4</v>
      </c>
      <c r="G38" s="2" t="s">
        <v>31</v>
      </c>
      <c r="H38" s="2">
        <v>2</v>
      </c>
      <c r="I38" s="4">
        <v>800</v>
      </c>
      <c r="J38" s="5">
        <v>0.05</v>
      </c>
      <c r="K38" s="2" t="s">
        <v>6</v>
      </c>
      <c r="L38" s="2">
        <f>Table1[[#This Row],[Quantity]]*Table1[[#This Row],[Unit_Price]]</f>
        <v>1600</v>
      </c>
      <c r="M38" s="2">
        <f>Table1[[#This Row],[Quantity]]*Table1[[#This Row],[Unit_Price]]*(1-Table1[[#This Row],[Discount]])</f>
        <v>1520</v>
      </c>
      <c r="N38" s="2" t="str">
        <f>IF(Table1[[#This Row],[discounted_Sales]]&gt;=50000,"High value","Average")</f>
        <v>Average</v>
      </c>
    </row>
    <row r="39" spans="1:14">
      <c r="A39" s="2" t="s">
        <v>75</v>
      </c>
      <c r="B39" s="3">
        <v>46043</v>
      </c>
      <c r="C39" s="2" t="s">
        <v>29</v>
      </c>
      <c r="D39" s="2" t="s">
        <v>12</v>
      </c>
      <c r="E39" s="2" t="s">
        <v>13</v>
      </c>
      <c r="F39" s="2" t="s">
        <v>14</v>
      </c>
      <c r="G39" s="2" t="s">
        <v>9</v>
      </c>
      <c r="H39" s="2">
        <v>6</v>
      </c>
      <c r="I39" s="4">
        <v>12000</v>
      </c>
      <c r="J39" s="5">
        <v>0.1</v>
      </c>
      <c r="K39" s="2" t="s">
        <v>6</v>
      </c>
      <c r="L39" s="2">
        <f>Table1[[#This Row],[Quantity]]*Table1[[#This Row],[Unit_Price]]</f>
        <v>72000</v>
      </c>
      <c r="M39" s="2">
        <f>Table1[[#This Row],[Quantity]]*Table1[[#This Row],[Unit_Price]]*(1-Table1[[#This Row],[Discount]])</f>
        <v>64800</v>
      </c>
      <c r="N39" s="2" t="str">
        <f>IF(Table1[[#This Row],[discounted_Sales]]&gt;=50000,"High value","Average")</f>
        <v>High value</v>
      </c>
    </row>
    <row r="40" spans="1:14">
      <c r="A40" s="2" t="s">
        <v>76</v>
      </c>
      <c r="B40" s="3">
        <v>46056</v>
      </c>
      <c r="C40" s="2" t="s">
        <v>22</v>
      </c>
      <c r="D40" s="2" t="s">
        <v>25</v>
      </c>
      <c r="E40" s="2" t="s">
        <v>3</v>
      </c>
      <c r="F40" s="2" t="s">
        <v>45</v>
      </c>
      <c r="G40" s="2" t="s">
        <v>9</v>
      </c>
      <c r="H40" s="2">
        <v>2</v>
      </c>
      <c r="I40" s="4">
        <v>2200</v>
      </c>
      <c r="J40" s="5">
        <v>0.05</v>
      </c>
      <c r="K40" s="2" t="s">
        <v>15</v>
      </c>
      <c r="L40" s="2">
        <f>Table1[[#This Row],[Quantity]]*Table1[[#This Row],[Unit_Price]]</f>
        <v>4400</v>
      </c>
      <c r="M40" s="2">
        <f>Table1[[#This Row],[Quantity]]*Table1[[#This Row],[Unit_Price]]*(1-Table1[[#This Row],[Discount]])</f>
        <v>4180</v>
      </c>
      <c r="N40" s="2" t="str">
        <f>IF(Table1[[#This Row],[discounted_Sales]]&gt;=50000,"High value","Average")</f>
        <v>Average</v>
      </c>
    </row>
    <row r="41" spans="1:14">
      <c r="A41" s="2" t="s">
        <v>77</v>
      </c>
      <c r="B41" s="3">
        <v>46066</v>
      </c>
      <c r="C41" s="2" t="s">
        <v>1</v>
      </c>
      <c r="D41" s="2" t="s">
        <v>25</v>
      </c>
      <c r="E41" s="2" t="s">
        <v>3</v>
      </c>
      <c r="F41" s="2" t="s">
        <v>14</v>
      </c>
      <c r="G41" s="2" t="s">
        <v>9</v>
      </c>
      <c r="H41" s="2">
        <v>5</v>
      </c>
      <c r="I41" s="4">
        <v>2200</v>
      </c>
      <c r="J41" s="5">
        <v>0.05</v>
      </c>
      <c r="K41" s="2" t="s">
        <v>18</v>
      </c>
      <c r="L41" s="2">
        <f>Table1[[#This Row],[Quantity]]*Table1[[#This Row],[Unit_Price]]</f>
        <v>11000</v>
      </c>
      <c r="M41" s="2">
        <f>Table1[[#This Row],[Quantity]]*Table1[[#This Row],[Unit_Price]]*(1-Table1[[#This Row],[Discount]])</f>
        <v>10450</v>
      </c>
      <c r="N41" s="2" t="str">
        <f>IF(Table1[[#This Row],[discounted_Sales]]&gt;=50000,"High value","Average")</f>
        <v>Average</v>
      </c>
    </row>
    <row r="42" spans="1:14">
      <c r="A42" s="2" t="s">
        <v>78</v>
      </c>
      <c r="B42" s="3">
        <v>46104</v>
      </c>
      <c r="C42" s="2" t="s">
        <v>44</v>
      </c>
      <c r="D42" s="2" t="s">
        <v>25</v>
      </c>
      <c r="E42" s="2" t="s">
        <v>3</v>
      </c>
      <c r="F42" s="2" t="s">
        <v>14</v>
      </c>
      <c r="G42" s="2" t="s">
        <v>5</v>
      </c>
      <c r="H42" s="2">
        <v>1</v>
      </c>
      <c r="I42" s="4">
        <v>2200</v>
      </c>
      <c r="J42" s="5">
        <v>0</v>
      </c>
      <c r="K42" s="2" t="s">
        <v>6</v>
      </c>
      <c r="L42" s="2">
        <f>Table1[[#This Row],[Quantity]]*Table1[[#This Row],[Unit_Price]]</f>
        <v>2200</v>
      </c>
      <c r="M42" s="2">
        <f>Table1[[#This Row],[Quantity]]*Table1[[#This Row],[Unit_Price]]*(1-Table1[[#This Row],[Discount]])</f>
        <v>2200</v>
      </c>
      <c r="N42" s="2" t="str">
        <f>IF(Table1[[#This Row],[discounted_Sales]]&gt;=50000,"High value","Average")</f>
        <v>Average</v>
      </c>
    </row>
    <row r="43" spans="1:14">
      <c r="A43" s="2" t="s">
        <v>79</v>
      </c>
      <c r="B43" s="3">
        <v>46043</v>
      </c>
      <c r="C43" s="2" t="s">
        <v>39</v>
      </c>
      <c r="D43" s="2" t="s">
        <v>34</v>
      </c>
      <c r="E43" s="2" t="s">
        <v>13</v>
      </c>
      <c r="F43" s="2" t="s">
        <v>30</v>
      </c>
      <c r="G43" s="2" t="s">
        <v>9</v>
      </c>
      <c r="H43" s="2">
        <v>3</v>
      </c>
      <c r="I43" s="4">
        <v>9500</v>
      </c>
      <c r="J43" s="5">
        <v>0.1</v>
      </c>
      <c r="K43" s="2" t="s">
        <v>18</v>
      </c>
      <c r="L43" s="2">
        <f>Table1[[#This Row],[Quantity]]*Table1[[#This Row],[Unit_Price]]</f>
        <v>28500</v>
      </c>
      <c r="M43" s="2">
        <f>Table1[[#This Row],[Quantity]]*Table1[[#This Row],[Unit_Price]]*(1-Table1[[#This Row],[Discount]])</f>
        <v>25650</v>
      </c>
      <c r="N43" s="2" t="str">
        <f>IF(Table1[[#This Row],[discounted_Sales]]&gt;=50000,"High value","Average")</f>
        <v>Average</v>
      </c>
    </row>
    <row r="44" spans="1:14">
      <c r="A44" s="2" t="s">
        <v>80</v>
      </c>
      <c r="B44" s="3">
        <v>46111</v>
      </c>
      <c r="C44" s="2" t="s">
        <v>65</v>
      </c>
      <c r="D44" s="2" t="s">
        <v>68</v>
      </c>
      <c r="E44" s="2" t="s">
        <v>13</v>
      </c>
      <c r="F44" s="2" t="s">
        <v>4</v>
      </c>
      <c r="G44" s="2" t="s">
        <v>9</v>
      </c>
      <c r="H44" s="2">
        <v>2</v>
      </c>
      <c r="I44" s="4">
        <v>55000</v>
      </c>
      <c r="J44" s="5">
        <v>0</v>
      </c>
      <c r="K44" s="2" t="s">
        <v>6</v>
      </c>
      <c r="L44" s="2">
        <f>Table1[[#This Row],[Quantity]]*Table1[[#This Row],[Unit_Price]]</f>
        <v>110000</v>
      </c>
      <c r="M44" s="2">
        <f>Table1[[#This Row],[Quantity]]*Table1[[#This Row],[Unit_Price]]*(1-Table1[[#This Row],[Discount]])</f>
        <v>110000</v>
      </c>
      <c r="N44" s="2" t="str">
        <f>IF(Table1[[#This Row],[discounted_Sales]]&gt;=50000,"High value","Average")</f>
        <v>High value</v>
      </c>
    </row>
    <row r="45" spans="1:14">
      <c r="A45" s="2" t="s">
        <v>81</v>
      </c>
      <c r="B45" s="3">
        <v>46039</v>
      </c>
      <c r="C45" s="2" t="s">
        <v>52</v>
      </c>
      <c r="D45" s="2" t="s">
        <v>34</v>
      </c>
      <c r="E45" s="2" t="s">
        <v>13</v>
      </c>
      <c r="F45" s="2" t="s">
        <v>14</v>
      </c>
      <c r="G45" s="2" t="s">
        <v>31</v>
      </c>
      <c r="H45" s="2">
        <v>3</v>
      </c>
      <c r="I45" s="4">
        <v>9500</v>
      </c>
      <c r="J45" s="5">
        <v>0.15</v>
      </c>
      <c r="K45" s="2" t="s">
        <v>6</v>
      </c>
      <c r="L45" s="2">
        <f>Table1[[#This Row],[Quantity]]*Table1[[#This Row],[Unit_Price]]</f>
        <v>28500</v>
      </c>
      <c r="M45" s="2">
        <f>Table1[[#This Row],[Quantity]]*Table1[[#This Row],[Unit_Price]]*(1-Table1[[#This Row],[Discount]])</f>
        <v>24225</v>
      </c>
      <c r="N45" s="2" t="str">
        <f>IF(Table1[[#This Row],[discounted_Sales]]&gt;=50000,"High value","Average")</f>
        <v>Average</v>
      </c>
    </row>
    <row r="46" spans="1:14">
      <c r="A46" s="2" t="s">
        <v>82</v>
      </c>
      <c r="B46" s="3">
        <v>46108</v>
      </c>
      <c r="C46" s="2" t="s">
        <v>22</v>
      </c>
      <c r="D46" s="2" t="s">
        <v>34</v>
      </c>
      <c r="E46" s="2" t="s">
        <v>13</v>
      </c>
      <c r="F46" s="2" t="s">
        <v>14</v>
      </c>
      <c r="G46" s="2" t="s">
        <v>9</v>
      </c>
      <c r="H46" s="2">
        <v>4</v>
      </c>
      <c r="I46" s="4">
        <v>9500</v>
      </c>
      <c r="J46" s="5">
        <v>0.05</v>
      </c>
      <c r="K46" s="2" t="s">
        <v>18</v>
      </c>
      <c r="L46" s="2">
        <f>Table1[[#This Row],[Quantity]]*Table1[[#This Row],[Unit_Price]]</f>
        <v>38000</v>
      </c>
      <c r="M46" s="2">
        <f>Table1[[#This Row],[Quantity]]*Table1[[#This Row],[Unit_Price]]*(1-Table1[[#This Row],[Discount]])</f>
        <v>36100</v>
      </c>
      <c r="N46" s="2" t="str">
        <f>IF(Table1[[#This Row],[discounted_Sales]]&gt;=50000,"High value","Average")</f>
        <v>Average</v>
      </c>
    </row>
    <row r="47" spans="1:14">
      <c r="A47" s="2" t="s">
        <v>83</v>
      </c>
      <c r="B47" s="3">
        <v>46045</v>
      </c>
      <c r="C47" s="2" t="s">
        <v>65</v>
      </c>
      <c r="D47" s="2" t="s">
        <v>40</v>
      </c>
      <c r="E47" s="2" t="s">
        <v>3</v>
      </c>
      <c r="F47" s="2" t="s">
        <v>30</v>
      </c>
      <c r="G47" s="2" t="s">
        <v>5</v>
      </c>
      <c r="H47" s="2">
        <v>4</v>
      </c>
      <c r="I47" s="4">
        <v>1500</v>
      </c>
      <c r="J47" s="5">
        <v>0.05</v>
      </c>
      <c r="K47" s="2" t="s">
        <v>15</v>
      </c>
      <c r="L47" s="2">
        <f>Table1[[#This Row],[Quantity]]*Table1[[#This Row],[Unit_Price]]</f>
        <v>6000</v>
      </c>
      <c r="M47" s="2">
        <f>Table1[[#This Row],[Quantity]]*Table1[[#This Row],[Unit_Price]]*(1-Table1[[#This Row],[Discount]])</f>
        <v>5700</v>
      </c>
      <c r="N47" s="2" t="str">
        <f>IF(Table1[[#This Row],[discounted_Sales]]&gt;=50000,"High value","Average")</f>
        <v>Average</v>
      </c>
    </row>
    <row r="48" spans="1:14">
      <c r="A48" s="2" t="s">
        <v>84</v>
      </c>
      <c r="B48" s="3">
        <v>46057</v>
      </c>
      <c r="C48" s="2" t="s">
        <v>49</v>
      </c>
      <c r="D48" s="2" t="s">
        <v>34</v>
      </c>
      <c r="E48" s="2" t="s">
        <v>13</v>
      </c>
      <c r="F48" s="2" t="s">
        <v>45</v>
      </c>
      <c r="G48" s="2" t="s">
        <v>35</v>
      </c>
      <c r="H48" s="2">
        <v>7</v>
      </c>
      <c r="I48" s="4">
        <v>9500</v>
      </c>
      <c r="J48" s="5">
        <v>0.05</v>
      </c>
      <c r="K48" s="2" t="s">
        <v>6</v>
      </c>
      <c r="L48" s="2">
        <f>Table1[[#This Row],[Quantity]]*Table1[[#This Row],[Unit_Price]]</f>
        <v>66500</v>
      </c>
      <c r="M48" s="2">
        <f>Table1[[#This Row],[Quantity]]*Table1[[#This Row],[Unit_Price]]*(1-Table1[[#This Row],[Discount]])</f>
        <v>63175</v>
      </c>
      <c r="N48" s="2" t="str">
        <f>IF(Table1[[#This Row],[discounted_Sales]]&gt;=50000,"High value","Average")</f>
        <v>High value</v>
      </c>
    </row>
    <row r="49" spans="1:14">
      <c r="A49" s="2" t="s">
        <v>85</v>
      </c>
      <c r="B49" s="3">
        <v>46081</v>
      </c>
      <c r="C49" s="2" t="s">
        <v>24</v>
      </c>
      <c r="D49" s="2" t="s">
        <v>47</v>
      </c>
      <c r="E49" s="2" t="s">
        <v>13</v>
      </c>
      <c r="F49" s="2" t="s">
        <v>14</v>
      </c>
      <c r="G49" s="2" t="s">
        <v>26</v>
      </c>
      <c r="H49" s="2">
        <v>4</v>
      </c>
      <c r="I49" s="4">
        <v>6500</v>
      </c>
      <c r="J49" s="5">
        <v>0.05</v>
      </c>
      <c r="K49" s="2" t="s">
        <v>15</v>
      </c>
      <c r="L49" s="2">
        <f>Table1[[#This Row],[Quantity]]*Table1[[#This Row],[Unit_Price]]</f>
        <v>26000</v>
      </c>
      <c r="M49" s="2">
        <f>Table1[[#This Row],[Quantity]]*Table1[[#This Row],[Unit_Price]]*(1-Table1[[#This Row],[Discount]])</f>
        <v>24700</v>
      </c>
      <c r="N49" s="2" t="str">
        <f>IF(Table1[[#This Row],[discounted_Sales]]&gt;=50000,"High value","Average")</f>
        <v>Average</v>
      </c>
    </row>
    <row r="50" spans="1:14">
      <c r="A50" s="2" t="s">
        <v>86</v>
      </c>
      <c r="B50" s="3">
        <v>46065</v>
      </c>
      <c r="C50" s="2" t="s">
        <v>20</v>
      </c>
      <c r="D50" s="2" t="s">
        <v>68</v>
      </c>
      <c r="E50" s="2" t="s">
        <v>13</v>
      </c>
      <c r="F50" s="2" t="s">
        <v>45</v>
      </c>
      <c r="G50" s="2" t="s">
        <v>31</v>
      </c>
      <c r="H50" s="2">
        <v>4</v>
      </c>
      <c r="I50" s="4">
        <v>55000</v>
      </c>
      <c r="J50" s="5">
        <v>0.15</v>
      </c>
      <c r="K50" s="2" t="s">
        <v>27</v>
      </c>
      <c r="L50" s="2">
        <f>Table1[[#This Row],[Quantity]]*Table1[[#This Row],[Unit_Price]]</f>
        <v>220000</v>
      </c>
      <c r="M50" s="2">
        <f>Table1[[#This Row],[Quantity]]*Table1[[#This Row],[Unit_Price]]*(1-Table1[[#This Row],[Discount]])</f>
        <v>187000</v>
      </c>
      <c r="N50" s="2" t="str">
        <f>IF(Table1[[#This Row],[discounted_Sales]]&gt;=50000,"High value","Average")</f>
        <v>High value</v>
      </c>
    </row>
    <row r="51" spans="1:14">
      <c r="A51" s="2" t="s">
        <v>87</v>
      </c>
      <c r="B51" s="3">
        <v>46037</v>
      </c>
      <c r="C51" s="2" t="s">
        <v>65</v>
      </c>
      <c r="D51" s="2" t="s">
        <v>8</v>
      </c>
      <c r="E51" s="2" t="s">
        <v>3</v>
      </c>
      <c r="F51" s="2" t="s">
        <v>14</v>
      </c>
      <c r="G51" s="2" t="s">
        <v>26</v>
      </c>
      <c r="H51" s="2">
        <v>6</v>
      </c>
      <c r="I51" s="4">
        <v>3500</v>
      </c>
      <c r="J51" s="5">
        <v>0</v>
      </c>
      <c r="K51" s="2" t="s">
        <v>27</v>
      </c>
      <c r="L51" s="2">
        <f>Table1[[#This Row],[Quantity]]*Table1[[#This Row],[Unit_Price]]</f>
        <v>21000</v>
      </c>
      <c r="M51" s="2">
        <f>Table1[[#This Row],[Quantity]]*Table1[[#This Row],[Unit_Price]]*(1-Table1[[#This Row],[Discount]])</f>
        <v>21000</v>
      </c>
      <c r="N51" s="2" t="str">
        <f>IF(Table1[[#This Row],[discounted_Sales]]&gt;=50000,"High value","Average")</f>
        <v>Average</v>
      </c>
    </row>
    <row r="52" spans="1:14">
      <c r="A52" s="2"/>
      <c r="B52" s="3"/>
      <c r="C52" s="2"/>
      <c r="D52" s="2"/>
      <c r="E52" s="2"/>
      <c r="F52" s="2"/>
      <c r="G52" s="2"/>
      <c r="H52" s="2"/>
      <c r="I52" s="4"/>
      <c r="J52" s="5"/>
      <c r="K52" s="2"/>
      <c r="L52" s="2"/>
      <c r="M52" s="2"/>
      <c r="N52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4D6F7-D88C-40BB-B6FB-6B22B7A888CA}">
  <dimension ref="A1:E9"/>
  <sheetViews>
    <sheetView workbookViewId="0">
      <selection activeCell="E21" sqref="E21"/>
    </sheetView>
  </sheetViews>
  <sheetFormatPr defaultRowHeight="15"/>
  <cols>
    <col min="1" max="1" width="9.42578125" bestFit="1" customWidth="1"/>
    <col min="2" max="2" width="11.28515625" bestFit="1" customWidth="1"/>
    <col min="3" max="3" width="10.28515625" bestFit="1" customWidth="1"/>
    <col min="4" max="4" width="14.140625" bestFit="1" customWidth="1"/>
    <col min="5" max="5" width="12.140625" bestFit="1" customWidth="1"/>
  </cols>
  <sheetData>
    <row r="1" spans="1:5">
      <c r="A1" s="1" t="s">
        <v>91</v>
      </c>
      <c r="B1" s="1" t="s">
        <v>92</v>
      </c>
      <c r="C1" s="1" t="s">
        <v>96</v>
      </c>
      <c r="D1" s="1" t="s">
        <v>103</v>
      </c>
      <c r="E1" s="1" t="s">
        <v>104</v>
      </c>
    </row>
    <row r="2" spans="1:5">
      <c r="A2" s="2" t="s">
        <v>68</v>
      </c>
      <c r="B2" s="2" t="s">
        <v>13</v>
      </c>
      <c r="C2" s="4">
        <v>55000</v>
      </c>
      <c r="D2" s="2" t="s">
        <v>105</v>
      </c>
      <c r="E2" s="2" t="s">
        <v>106</v>
      </c>
    </row>
    <row r="3" spans="1:5">
      <c r="A3" s="2" t="s">
        <v>2</v>
      </c>
      <c r="B3" s="2" t="s">
        <v>3</v>
      </c>
      <c r="C3" s="4">
        <v>800</v>
      </c>
      <c r="D3" s="2" t="s">
        <v>107</v>
      </c>
      <c r="E3" s="2" t="s">
        <v>106</v>
      </c>
    </row>
    <row r="4" spans="1:5">
      <c r="A4" s="2" t="s">
        <v>40</v>
      </c>
      <c r="B4" s="2" t="s">
        <v>3</v>
      </c>
      <c r="C4" s="4">
        <v>1500</v>
      </c>
      <c r="D4" s="2" t="s">
        <v>108</v>
      </c>
      <c r="E4" s="2" t="s">
        <v>106</v>
      </c>
    </row>
    <row r="5" spans="1:5">
      <c r="A5" s="2" t="s">
        <v>12</v>
      </c>
      <c r="B5" s="2" t="s">
        <v>13</v>
      </c>
      <c r="C5" s="4">
        <v>12000</v>
      </c>
      <c r="D5" s="2" t="s">
        <v>105</v>
      </c>
      <c r="E5" s="2" t="s">
        <v>106</v>
      </c>
    </row>
    <row r="6" spans="1:5">
      <c r="A6" s="2" t="s">
        <v>25</v>
      </c>
      <c r="B6" s="2" t="s">
        <v>3</v>
      </c>
      <c r="C6" s="4">
        <v>2200</v>
      </c>
      <c r="D6" s="2" t="s">
        <v>109</v>
      </c>
      <c r="E6" s="2" t="s">
        <v>106</v>
      </c>
    </row>
    <row r="7" spans="1:5">
      <c r="A7" s="2" t="s">
        <v>34</v>
      </c>
      <c r="B7" s="2" t="s">
        <v>13</v>
      </c>
      <c r="C7" s="4">
        <v>9500</v>
      </c>
      <c r="D7" s="2" t="s">
        <v>105</v>
      </c>
      <c r="E7" s="2" t="s">
        <v>110</v>
      </c>
    </row>
    <row r="8" spans="1:5">
      <c r="A8" s="2" t="s">
        <v>8</v>
      </c>
      <c r="B8" s="2" t="s">
        <v>3</v>
      </c>
      <c r="C8" s="4">
        <v>3500</v>
      </c>
      <c r="D8" s="2" t="s">
        <v>107</v>
      </c>
      <c r="E8" s="2" t="s">
        <v>106</v>
      </c>
    </row>
    <row r="9" spans="1:5">
      <c r="A9" s="2" t="s">
        <v>47</v>
      </c>
      <c r="B9" s="2" t="s">
        <v>13</v>
      </c>
      <c r="C9" s="4">
        <v>6500</v>
      </c>
      <c r="D9" s="2" t="s">
        <v>109</v>
      </c>
      <c r="E9" s="2" t="s">
        <v>106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DA042-7F7E-4E95-81BA-7027A279AB95}">
  <dimension ref="A1:C16"/>
  <sheetViews>
    <sheetView workbookViewId="0">
      <selection activeCell="B17" sqref="B17"/>
    </sheetView>
  </sheetViews>
  <sheetFormatPr defaultRowHeight="15"/>
  <cols>
    <col min="2" max="2" width="43.5703125" customWidth="1"/>
  </cols>
  <sheetData>
    <row r="1" spans="1:3">
      <c r="A1" s="6" t="s">
        <v>99</v>
      </c>
      <c r="B1" s="6" t="s">
        <v>100</v>
      </c>
    </row>
    <row r="2" spans="1:3">
      <c r="A2" s="7">
        <v>1</v>
      </c>
      <c r="B2" s="7">
        <f>SUM(Sheet1!H2:H51)</f>
        <v>199</v>
      </c>
    </row>
    <row r="3" spans="1:3">
      <c r="A3" s="7">
        <v>2</v>
      </c>
      <c r="B3" s="8">
        <f>AVERAGE(Sheet1!I2:I51)</f>
        <v>8692</v>
      </c>
    </row>
    <row r="4" spans="1:3">
      <c r="A4" s="7">
        <v>3</v>
      </c>
      <c r="B4" s="8">
        <f>MAX(Sheet1!I2:I51)</f>
        <v>55000</v>
      </c>
    </row>
    <row r="5" spans="1:3">
      <c r="A5" s="7">
        <v>4</v>
      </c>
      <c r="B5" s="8">
        <f>MIN(Sheet1!I2:I51)</f>
        <v>800</v>
      </c>
    </row>
    <row r="6" spans="1:3">
      <c r="A6" s="7">
        <v>5</v>
      </c>
      <c r="B6" s="7">
        <f>COUNTA(Sheet1!A2:A51)</f>
        <v>50</v>
      </c>
    </row>
    <row r="7" spans="1:3">
      <c r="A7" s="7">
        <v>6</v>
      </c>
      <c r="B7" s="7">
        <f>COUNTIF(Sheet1!K2:K51,"UPI")</f>
        <v>8</v>
      </c>
    </row>
    <row r="8" spans="1:3">
      <c r="A8" s="7">
        <v>7</v>
      </c>
      <c r="B8" s="7">
        <f>SUMIF(Sheet1!F2:F51,"South",Sheet1!H2:H51)</f>
        <v>28</v>
      </c>
    </row>
    <row r="9" spans="1:3">
      <c r="A9" s="7">
        <v>8</v>
      </c>
      <c r="B9" s="7">
        <f>SUMIF(Sheet1!E2:E51,Sheet1!E17,Sheet1!H2:H51)</f>
        <v>90</v>
      </c>
    </row>
    <row r="10" spans="1:3">
      <c r="A10" s="7">
        <v>9</v>
      </c>
      <c r="B10" s="7"/>
    </row>
    <row r="11" spans="1:3">
      <c r="A11" s="7">
        <v>10</v>
      </c>
      <c r="B11" s="7"/>
    </row>
    <row r="12" spans="1:3">
      <c r="A12" s="7">
        <v>11</v>
      </c>
      <c r="B12" s="7" t="s">
        <v>111</v>
      </c>
      <c r="C12" t="str">
        <f>LOOKUP(B12,Sheet3!A2:A9,Sheet3!B2:B9)</f>
        <v>Accessories</v>
      </c>
    </row>
    <row r="13" spans="1:3">
      <c r="A13" s="7">
        <v>12</v>
      </c>
      <c r="B13" s="7" t="s">
        <v>111</v>
      </c>
      <c r="C13" t="str">
        <f>_xlfn.XLOOKUP(B13,Sheet3!A2:A9,Sheet3!D2:D9)</f>
        <v>Prime Systems</v>
      </c>
    </row>
    <row r="14" spans="1:3">
      <c r="A14" s="7">
        <v>13</v>
      </c>
      <c r="B14" s="7" t="s">
        <v>111</v>
      </c>
      <c r="C14" t="str">
        <f>_xlfn.XLOOKUP(B14,Sheet3!A2:A9,Sheet3!E2:E9)</f>
        <v>In Stock</v>
      </c>
    </row>
    <row r="15" spans="1:3">
      <c r="A15" s="7">
        <v>14</v>
      </c>
      <c r="B15" s="7"/>
    </row>
    <row r="16" spans="1:3">
      <c r="A16" s="7">
        <v>15</v>
      </c>
      <c r="B16" s="7">
        <f>SUMIF(Sheet1!G2:G51,"Priya",Sheet1!M2:M51)</f>
        <v>555530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Vandana T T K</dc:creator>
  <cp:lastModifiedBy>Vandana T T K</cp:lastModifiedBy>
  <dcterms:created xsi:type="dcterms:W3CDTF">2026-10-03T08:53:21Z</dcterms:created>
  <dcterms:modified xsi:type="dcterms:W3CDTF">2026-10-04T03:32:51Z</dcterms:modified>
</cp:coreProperties>
</file>